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teampjt\startcamp_documents\Day03\"/>
    </mc:Choice>
  </mc:AlternateContent>
  <xr:revisionPtr revIDLastSave="0" documentId="13_ncr:1_{996EFFCF-DB3E-4D2D-9C4A-506D33506DDF}" xr6:coauthVersionLast="47" xr6:coauthVersionMax="47" xr10:uidLastSave="{00000000-0000-0000-0000-000000000000}"/>
  <bookViews>
    <workbookView xWindow="-120" yWindow="-120" windowWidth="38640" windowHeight="21120" tabRatio="500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4" l="1"/>
  <c r="G13" i="4"/>
  <c r="G6" i="4"/>
  <c r="G7" i="4"/>
  <c r="G8" i="4"/>
  <c r="G9" i="4"/>
  <c r="G10" i="4"/>
  <c r="G11" i="4"/>
  <c r="G12" i="4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</calcChain>
</file>

<file path=xl/sharedStrings.xml><?xml version="1.0" encoding="utf-8"?>
<sst xmlns="http://schemas.openxmlformats.org/spreadsheetml/2006/main" count="280" uniqueCount="247">
  <si>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</si>
  <si>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</si>
  <si>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</si>
  <si>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</si>
  <si>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</si>
  <si>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</si>
  <si>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</si>
  <si>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</si>
  <si>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</si>
  <si>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</si>
  <si>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</si>
  <si>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</si>
  <si>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</si>
  <si>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</si>
  <si>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</si>
  <si>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</si>
  <si>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</si>
  <si>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</si>
  <si>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</si>
  <si>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</si>
  <si>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</si>
  <si>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</si>
  <si>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</si>
  <si>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</si>
  <si>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</si>
  <si>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</si>
  <si>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</si>
  <si>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</si>
  <si>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</si>
  <si>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</si>
  <si>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</si>
  <si>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</si>
  <si>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</si>
  <si>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</si>
  <si>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</si>
  <si>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</si>
  <si>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</si>
  <si>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</si>
  <si>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</si>
  <si>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</si>
  <si>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</si>
  <si>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</si>
  <si>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</si>
  <si>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</si>
  <si>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</si>
  <si>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</si>
  <si>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</si>
  <si>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</si>
  <si>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</si>
  <si>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</si>
  <si>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</si>
  <si>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</si>
  <si>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</si>
  <si>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</si>
  <si>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</si>
  <si>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</si>
  <si>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</si>
  <si>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</si>
  <si>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</si>
  <si>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</si>
  <si>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</si>
  <si>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</si>
  <si>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</si>
  <si>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</si>
  <si>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</si>
  <si>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</si>
  <si>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</si>
  <si>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</si>
  <si>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</si>
  <si>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</si>
  <si>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</si>
  <si>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</si>
  <si>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</si>
  <si>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</si>
  <si>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</si>
  <si>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</si>
  <si>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</si>
  <si>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</si>
  <si>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</si>
  <si>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</si>
  <si>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</si>
  <si>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</si>
  <si>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</si>
  <si>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</si>
  <si>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</si>
  <si>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</si>
  <si>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</si>
  <si>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</si>
  <si>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</si>
  <si>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</si>
  <si>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</si>
  <si>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</si>
  <si>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</si>
  <si>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</si>
  <si>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</si>
  <si>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</si>
  <si>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</si>
  <si>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</si>
  <si>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</si>
  <si>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</si>
  <si>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</si>
  <si>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</si>
  <si>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</si>
  <si>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</si>
  <si>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</si>
  <si>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</si>
  <si>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</si>
  <si>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</si>
  <si>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</si>
  <si>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</si>
  <si>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</si>
  <si>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</si>
  <si>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</si>
  <si>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</si>
  <si>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</si>
  <si>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</si>
  <si>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</si>
  <si>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</si>
  <si>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</si>
  <si>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</si>
  <si>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</si>
  <si>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</si>
  <si>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</si>
  <si>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</si>
  <si>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</si>
  <si>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</si>
  <si>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</si>
  <si>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</si>
  <si>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</si>
  <si>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</si>
  <si>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</si>
  <si>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</si>
  <si>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</si>
  <si>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</si>
  <si>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</si>
  <si>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</si>
  <si>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</si>
  <si>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</si>
  <si>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</si>
  <si>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</si>
  <si>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</si>
  <si>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</si>
  <si>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</si>
  <si>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</si>
  <si>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</si>
  <si>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</si>
  <si>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</si>
  <si>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</si>
  <si>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상세내용</t>
  </si>
  <si>
    <t>근거 조항</t>
  </si>
  <si>
    <t>검토 의견 (PM View)</t>
  </si>
  <si>
    <t>제약</t>
  </si>
  <si>
    <t>외부 AI 도구 사용 금지</t>
  </si>
  <si>
    <t>지정된 개발 환경(VSCode Copilot + OpenAI API) 외 Claude Code, Codex, Cursor 등 타 AI 코딩 도구는 보안 사유로 사용이 엄격히 불가함. 위반 시 계약 조건에 따라 처리됨.</t>
  </si>
  <si>
    <t>III. 개발 환경 및 AI 도구 정책 나</t>
  </si>
  <si>
    <r>
      <t>[High Risk]</t>
    </r>
    <r>
      <rPr>
        <sz val="11"/>
        <color theme="1"/>
        <rFont val="Arial"/>
        <family val="2"/>
      </rPr>
      <t xml:space="preserve"> 팀원들에게 해당 내용을 전파하고 별도의 보안 서약서 징구 필요. 사내 네트워크 환경에서 비인가 AI 툴 접속을 사전에 차단하는 조치 권장.</t>
    </r>
  </si>
  <si>
    <t>API 키 노출 및 과금 방어</t>
  </si>
  <si>
    <r>
      <t xml:space="preserve">Vite의 </t>
    </r>
    <r>
      <rPr>
        <sz val="10"/>
        <color theme="1"/>
        <rFont val="Google Sans Text"/>
        <family val="2"/>
      </rPr>
      <t>.env</t>
    </r>
    <r>
      <rPr>
        <sz val="11"/>
        <color theme="1"/>
        <rFont val="Arial"/>
        <family val="2"/>
      </rPr>
      <t xml:space="preserve"> 환경변수 특성상 브라우저에 API 키가 노출될 수 있으므로, 반드시 사용량 제한이 걸린 키를 사용하고 결제 한도를 낮게 설정해야 함. 주어진 예산 초과 불가함.</t>
    </r>
  </si>
  <si>
    <t>II. 요청 내용 2항, III. 챗봇 기능 구현 필수 가</t>
  </si>
  <si>
    <t>프론트엔드 직접 호출의 치명적 리스크임. OpenAI 대시보드에서 하드/소프트 Usage Limit을 최소 단위로 설정하고, 정기적으로 Key를 갱신하는 방안을 WBS에 포함해야 함.</t>
  </si>
  <si>
    <t>추가 데이터 라이선스 확인</t>
  </si>
  <si>
    <t>제공되는 JSON 외 추가 데이터 수집 시 반드시 해당 데이터의 사용 범위(라이선스, 공공누리 유형 등)를 사전 확인 후 활용해야 함.</t>
  </si>
  <si>
    <t>II. 요청 내용 2항, III. 제공 데이터 활용 및 추가 수집 나</t>
  </si>
  <si>
    <t>저작권 분쟁 소지가 있으므로, 외부 데이터 수집은 최소화. 부득이하게 수집할 경우 '공공누리 1유형' 데이터만 선별하여 사용하는 내부 가이드라인 수립 필요.</t>
  </si>
  <si>
    <t>착수 후 요구사항 변경 불가</t>
  </si>
  <si>
    <t>세부 기능 및 데이터 연동 범위는 사전 협의 가능하나, 개발 착수 이후 기능 추가 및 범위 변경은 원칙적으로 수용 불가함.</t>
  </si>
  <si>
    <t>V. 기타 및 회신 요청 5항</t>
  </si>
  <si>
    <t>애자일 방식보다는 워터폴에 가까운 철저한 사전 분석이 필요. 착수 회의 시 기능 명세서를 픽스하고, 이후 발생하는 모든 변경 건에 대해 방어 로직 구축 필수.</t>
  </si>
  <si>
    <t>필수</t>
  </si>
  <si>
    <t>프론트엔드 전용 아키텍처</t>
  </si>
  <si>
    <t>백엔드 서버 없이 Vue.js 3(Vite) 기반의 SPA로 개발해야 함. 데이터는 제공된 JSON을 브라우저에서 직접 불러와 처리함.</t>
  </si>
  <si>
    <t>II. 요청 내용 2항, III. 프론트엔드 구현 필수 가</t>
  </si>
  <si>
    <t>서버 세팅 공수가 줄어드는 장점이 있으나, 클라이언트 메모리 부하 최적화가 관건임. JSON 파일 용량이 클 경우 Lazy-loading 등의 비동기 처리 전략 설계 요망.</t>
  </si>
  <si>
    <t>익명 커뮤니티 (Local Storage)</t>
  </si>
  <si>
    <r>
      <t xml:space="preserve">회원가입/로그인 없이 익명으로 작동하며, 게시글과 수정용 비밀번호(평문)를 브라우저 </t>
    </r>
    <r>
      <rPr>
        <sz val="10"/>
        <color theme="1"/>
        <rFont val="Google Sans Text"/>
        <family val="2"/>
      </rPr>
      <t>localStorage</t>
    </r>
    <r>
      <rPr>
        <sz val="11"/>
        <color theme="1"/>
        <rFont val="Arial"/>
        <family val="2"/>
      </rPr>
      <t>에 저장해 권한을 확인함.</t>
    </r>
  </si>
  <si>
    <t>III. 커뮤니티 기능(CRUD) 구현 필수 가, 나</t>
  </si>
  <si>
    <t>브라우저 캐시 삭제 시 사용자 데이터가 증발한다는 점을 서비스 UI 상단에 안내 문구로 명확히 고지하여 CS 이슈를 사전에 차단해야 함.</t>
  </si>
  <si>
    <t>OpenAI 챗봇 연동</t>
  </si>
  <si>
    <t>Vue3 프론트엔드에서 직접 API를 호출하여 지역 정보 질의응답이 가능한 챗봇(플로팅 UI 등)을 개발해야 함.</t>
  </si>
  <si>
    <t>III. 챗봇 기능 구현 필수 가, 나, 다</t>
  </si>
  <si>
    <t>백엔드 없이 JSON 텍스트를 LLM의 프롬프트 컨텍스트로 주입해야 함. 데이터 전체를 넣으면 토큰 한도를 초과하므로, 필요한 데이터만 필터링하여 질문과 함께 넘기는 프롬프트 엔지니어링이 핵심 과제임.</t>
  </si>
  <si>
    <t>배포 및 산출물 납기 준수</t>
  </si>
  <si>
    <t>2026. 7. 16.(목) 15:00까지 Netlify 배포 URL, 소스코드, 기능 명세서, WBS, 발표 자료를 모두 제출해야 함. 누락 시 미완료 처리됨.</t>
  </si>
  <si>
    <t>II. 요청 내용 3항, IV. [참고 1] 산출물 목록(안)</t>
  </si>
  <si>
    <t>납기가 매우 타이트함. WBS를 일단위(Daily) 마일스톤으로 쪼개어 관리하고, 기획/디자인 공수를 최소화하기 위해 UI 프레임워크(Vuetify 등) 적극 활용 추천.</t>
  </si>
  <si>
    <t>선택</t>
  </si>
  <si>
    <t>부가 기능 추가 (최소 1개)</t>
  </si>
  <si>
    <t>지도 시각화, 데이터 시각화 대시보드, 축제 캘린더, 경로 안내, 날씨 연동 등 제시된 선택 기능 중 자율적으로 최소 1개 이상 추가해야 함.</t>
  </si>
  <si>
    <t>IV. [참고 2] 기능 요구사항 기준(안)</t>
  </si>
  <si>
    <r>
      <t xml:space="preserve">제한된 납기(7월 16일)를 고려할 때, 투입 리소스 대비 결과물의 가시성이 좋은 **'날씨 정보 연동(외부 API 단순 호출)'**이나 </t>
    </r>
    <r>
      <rPr>
        <b/>
        <sz val="11"/>
        <color theme="1"/>
        <rFont val="Arial"/>
        <family val="2"/>
      </rPr>
      <t>'지도 시각화(Kakao Maps 마커)'</t>
    </r>
    <r>
      <rPr>
        <sz val="11"/>
        <color theme="1"/>
        <rFont val="Arial"/>
        <family val="2"/>
      </rPr>
      <t xml:space="preserve"> 중 1개를 전략적으로 선택하는 것이 유리함.</t>
    </r>
  </si>
  <si>
    <t>날씨 정보 연동</t>
  </si>
  <si>
    <t>외부 날씨 API를 연동하여 권역별 현재 날씨 및 여행 적합 여부 표시</t>
  </si>
  <si>
    <t>데이터 시각화 대시보드</t>
  </si>
  <si>
    <t>Chart.js 또는 D3.js 등을 활용한 권역별 게시글 현황, 인기 지역 통계 시각화</t>
  </si>
  <si>
    <t>소셜 공유 연동</t>
  </si>
  <si>
    <t>지도 시각화</t>
  </si>
  <si>
    <t>권역별 축제 일정을 캘린더 형태로 시각화 (FullCalendar 등 외부 라이브러리 활용)</t>
  </si>
  <si>
    <t>경로 안내</t>
  </si>
  <si>
    <t>복수의 관광지·맛집을 선택하여 이동 경로를 지도 위에 시각화</t>
  </si>
  <si>
    <t>다국어 지원</t>
  </si>
  <si>
    <t>i18n을 활용한 한/영 전환 및 다국어 지역 정보 콘텐츠 제공</t>
  </si>
  <si>
    <t>실시간 알림</t>
  </si>
  <si>
    <t>WebSocket 기반 새 게시글 실시간 알림 또는 접속자 현황 표시 (서버 필요)</t>
  </si>
  <si>
    <r>
      <t xml:space="preserve">KakaoTalk </t>
    </r>
    <r>
      <rPr>
        <sz val="11"/>
        <color rgb="FF1F1F1F"/>
        <rFont val="맑은 고딕"/>
        <family val="3"/>
        <charset val="129"/>
      </rPr>
      <t>링크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복사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외부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플랫폼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공유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기능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및</t>
    </r>
    <r>
      <rPr>
        <sz val="11"/>
        <color rgb="FF1F1F1F"/>
        <rFont val="Arial"/>
        <family val="2"/>
      </rPr>
      <t xml:space="preserve"> OG </t>
    </r>
    <r>
      <rPr>
        <sz val="11"/>
        <color rgb="FF1F1F1F"/>
        <rFont val="맑은 고딕"/>
        <family val="3"/>
        <charset val="129"/>
      </rPr>
      <t>태그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메타데이터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구성</t>
    </r>
    <phoneticPr fontId="17" type="noConversion"/>
  </si>
  <si>
    <t>선정</t>
    <phoneticPr fontId="17" type="noConversion"/>
  </si>
  <si>
    <t>보류</t>
    <phoneticPr fontId="17" type="noConversion"/>
  </si>
  <si>
    <t>제외</t>
    <phoneticPr fontId="17" type="noConversion"/>
  </si>
  <si>
    <t>서울</t>
    <phoneticPr fontId="17" type="noConversion"/>
  </si>
  <si>
    <r>
      <rPr>
        <sz val="10"/>
        <color rgb="FF222222"/>
        <rFont val="돋움"/>
        <family val="2"/>
        <charset val="129"/>
      </rPr>
      <t>공공데이터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기반의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정보를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쉽게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확인하고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2"/>
        <charset val="129"/>
      </rPr>
      <t>가입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절차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없이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익명으로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자유롭게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소통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공유할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있는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플랫폼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부재</t>
    </r>
    <phoneticPr fontId="17" type="noConversion"/>
  </si>
  <si>
    <r>
      <t>1. 2026</t>
    </r>
    <r>
      <rPr>
        <sz val="10"/>
        <color rgb="FF222222"/>
        <rFont val="돋움"/>
        <family val="3"/>
        <charset val="129"/>
      </rPr>
      <t>년</t>
    </r>
    <r>
      <rPr>
        <sz val="10"/>
        <color rgb="FF222222"/>
        <rFont val="Noto Sans CJK SC"/>
        <family val="2"/>
      </rPr>
      <t xml:space="preserve"> 7</t>
    </r>
    <r>
      <rPr>
        <sz val="10"/>
        <color rgb="FF222222"/>
        <rFont val="돋움"/>
        <family val="3"/>
        <charset val="129"/>
      </rPr>
      <t>월</t>
    </r>
    <r>
      <rPr>
        <sz val="10"/>
        <color rgb="FF222222"/>
        <rFont val="Noto Sans CJK SC"/>
        <family val="2"/>
      </rPr>
      <t xml:space="preserve"> 16</t>
    </r>
    <r>
      <rPr>
        <sz val="10"/>
        <color rgb="FF222222"/>
        <rFont val="돋움"/>
        <family val="3"/>
        <charset val="129"/>
      </rPr>
      <t>일</t>
    </r>
    <r>
      <rPr>
        <sz val="10"/>
        <color rgb="FF222222"/>
        <rFont val="Noto Sans CJK SC"/>
        <family val="2"/>
      </rPr>
      <t>(</t>
    </r>
    <r>
      <rPr>
        <sz val="10"/>
        <color rgb="FF222222"/>
        <rFont val="돋움"/>
        <family val="3"/>
        <charset val="129"/>
      </rPr>
      <t>목</t>
    </r>
    <r>
      <rPr>
        <sz val="10"/>
        <color rgb="FF222222"/>
        <rFont val="Noto Sans CJK SC"/>
        <family val="2"/>
      </rPr>
      <t>) 15:00</t>
    </r>
    <r>
      <rPr>
        <sz val="10"/>
        <color rgb="FF222222"/>
        <rFont val="돋움"/>
        <family val="3"/>
        <charset val="129"/>
      </rPr>
      <t>까지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요구사항</t>
    </r>
    <r>
      <rPr>
        <sz val="10"/>
        <color rgb="FF222222"/>
        <rFont val="Noto Sans CJK SC"/>
        <family val="2"/>
      </rPr>
      <t xml:space="preserve">(Vue3 SPA, </t>
    </r>
    <r>
      <rPr>
        <sz val="10"/>
        <color rgb="FF222222"/>
        <rFont val="돋움"/>
        <family val="3"/>
        <charset val="129"/>
      </rPr>
      <t>익명</t>
    </r>
    <r>
      <rPr>
        <sz val="10"/>
        <color rgb="FF222222"/>
        <rFont val="Noto Sans CJK SC"/>
        <family val="2"/>
      </rPr>
      <t xml:space="preserve"> CRUD, AI </t>
    </r>
    <r>
      <rPr>
        <sz val="10"/>
        <color rgb="FF222222"/>
        <rFont val="돋움"/>
        <family val="3"/>
        <charset val="129"/>
      </rPr>
      <t>챗봇</t>
    </r>
    <r>
      <rPr>
        <sz val="10"/>
        <color rgb="FF222222"/>
        <rFont val="Noto Sans CJK SC"/>
        <family val="2"/>
      </rPr>
      <t xml:space="preserve">) </t>
    </r>
    <r>
      <rPr>
        <sz val="10"/>
        <color rgb="FF222222"/>
        <rFont val="돋움"/>
        <family val="3"/>
        <charset val="129"/>
      </rPr>
      <t>충족</t>
    </r>
    <r>
      <rPr>
        <sz val="10"/>
        <color rgb="FF222222"/>
        <rFont val="Noto Sans CJK SC"/>
        <family val="2"/>
      </rPr>
      <t xml:space="preserve"> 2. Netlify </t>
    </r>
    <r>
      <rPr>
        <sz val="10"/>
        <color rgb="FF222222"/>
        <rFont val="돋움"/>
        <family val="2"/>
        <charset val="129"/>
      </rPr>
      <t>배포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완료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외부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접근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가능</t>
    </r>
    <r>
      <rPr>
        <sz val="10"/>
        <color rgb="FF222222"/>
        <rFont val="Noto Sans CJK SC"/>
        <family val="2"/>
      </rPr>
      <t xml:space="preserve"> URL </t>
    </r>
    <r>
      <rPr>
        <sz val="10"/>
        <color rgb="FF222222"/>
        <rFont val="돋움"/>
        <family val="2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동작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확인</t>
    </r>
    <r>
      <rPr>
        <sz val="10"/>
        <color rgb="FF222222"/>
        <rFont val="Noto Sans CJK SC"/>
        <family val="2"/>
      </rPr>
      <t xml:space="preserve"> 3. OpenAI API </t>
    </r>
    <r>
      <rPr>
        <sz val="10"/>
        <color rgb="FF222222"/>
        <rFont val="돋움"/>
        <family val="2"/>
        <charset val="129"/>
      </rPr>
      <t>등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외부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서비스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비용이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정해진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예산을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초과하지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않음</t>
    </r>
    <phoneticPr fontId="17" type="noConversion"/>
  </si>
  <si>
    <r>
      <rPr>
        <sz val="10"/>
        <color rgb="FF222222"/>
        <rFont val="돋움"/>
        <family val="2"/>
        <charset val="129"/>
      </rPr>
      <t>선정</t>
    </r>
    <r>
      <rPr>
        <sz val="10"/>
        <color rgb="FF222222"/>
        <rFont val="Arial"/>
        <family val="2"/>
      </rPr>
      <t xml:space="preserve"> 1</t>
    </r>
    <r>
      <rPr>
        <sz val="10"/>
        <color rgb="FF222222"/>
        <rFont val="돋움"/>
        <family val="2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카테고리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게시판</t>
    </r>
    <r>
      <rPr>
        <sz val="10"/>
        <color rgb="FF222222"/>
        <rFont val="Arial"/>
        <family val="2"/>
      </rPr>
      <t xml:space="preserve"> CRUD (</t>
    </r>
    <r>
      <rPr>
        <sz val="10"/>
        <color rgb="FF222222"/>
        <rFont val="돋움"/>
        <family val="2"/>
        <charset val="129"/>
      </rPr>
      <t>목록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2"/>
        <charset val="129"/>
      </rPr>
      <t>상세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2"/>
        <charset val="129"/>
      </rPr>
      <t>작성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2"/>
        <charset val="129"/>
      </rPr>
      <t>수정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2"/>
        <charset val="129"/>
      </rPr>
      <t>삭제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구현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브라우저</t>
    </r>
    <r>
      <rPr>
        <sz val="10"/>
        <color rgb="FF222222"/>
        <rFont val="Arial"/>
        <family val="2"/>
      </rPr>
      <t xml:space="preserve"> localStorage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평문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비밀번호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권한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로직</t>
    </r>
    <r>
      <rPr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</si>
  <si>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돋움"/>
        <family val="2"/>
        <charset val="129"/>
      </rPr>
      <t>챗봇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기능</t>
    </r>
    <r>
      <rPr>
        <sz val="10"/>
        <color rgb="FF222222"/>
        <rFont val="Arial"/>
        <family val="2"/>
      </rPr>
      <t xml:space="preserve"> (OpenAI API </t>
    </r>
    <r>
      <rPr>
        <sz val="10"/>
        <color rgb="FF222222"/>
        <rFont val="돋움"/>
        <family val="2"/>
        <charset val="129"/>
      </rPr>
      <t>직접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호출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채팅</t>
    </r>
    <r>
      <rPr>
        <sz val="10"/>
        <color rgb="FF222222"/>
        <rFont val="Arial"/>
        <family val="2"/>
      </rPr>
      <t xml:space="preserve"> UI </t>
    </r>
    <r>
      <rPr>
        <sz val="10"/>
        <color rgb="FF222222"/>
        <rFont val="돋움"/>
        <family val="2"/>
        <charset val="129"/>
      </rPr>
      <t>컴포넌트</t>
    </r>
    <r>
      <rPr>
        <sz val="10"/>
        <color rgb="FF222222"/>
        <rFont val="Arial"/>
        <family val="2"/>
      </rPr>
      <t xml:space="preserve"> (</t>
    </r>
    <r>
      <rPr>
        <sz val="10"/>
        <color rgb="FF222222"/>
        <rFont val="돋움"/>
        <family val="2"/>
        <charset val="129"/>
      </rPr>
      <t>대화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히스토리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유지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모바일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대응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플로팅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돋움"/>
        <family val="2"/>
        <charset val="129"/>
      </rPr>
      <t>구현</t>
    </r>
    <phoneticPr fontId="17" type="noConversion"/>
  </si>
  <si>
    <r>
      <t>FE(</t>
    </r>
    <r>
      <rPr>
        <sz val="10"/>
        <color rgb="FF222222"/>
        <rFont val="돋움"/>
        <family val="2"/>
        <charset val="129"/>
      </rPr>
      <t>화면</t>
    </r>
    <r>
      <rPr>
        <sz val="10"/>
        <color rgb="FF222222"/>
        <rFont val="Arial"/>
        <family val="2"/>
      </rPr>
      <t xml:space="preserve">): </t>
    </r>
    <r>
      <rPr>
        <sz val="10"/>
        <color rgb="FF222222"/>
        <rFont val="돋움"/>
        <family val="2"/>
        <charset val="129"/>
      </rPr>
      <t>별도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백엔드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서버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없이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브라우저에서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동작하는</t>
    </r>
    <r>
      <rPr>
        <sz val="10"/>
        <color rgb="FF222222"/>
        <rFont val="Arial"/>
        <family val="2"/>
      </rPr>
      <t xml:space="preserve"> Vue.js 3(Vite) </t>
    </r>
    <r>
      <rPr>
        <sz val="10"/>
        <color rgb="FF222222"/>
        <rFont val="돋움"/>
        <family val="2"/>
        <charset val="129"/>
      </rPr>
      <t>기반</t>
    </r>
    <r>
      <rPr>
        <sz val="10"/>
        <color rgb="FF222222"/>
        <rFont val="Arial"/>
        <family val="2"/>
      </rPr>
      <t xml:space="preserve"> SPA </t>
    </r>
    <r>
      <rPr>
        <sz val="10"/>
        <color rgb="FF222222"/>
        <rFont val="돋움"/>
        <family val="2"/>
        <charset val="129"/>
      </rPr>
      <t>구현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제공</t>
    </r>
    <r>
      <rPr>
        <sz val="10"/>
        <color rgb="FF222222"/>
        <rFont val="Arial"/>
        <family val="2"/>
      </rPr>
      <t xml:space="preserve"> JSON </t>
    </r>
    <r>
      <rPr>
        <sz val="10"/>
        <color rgb="FF222222"/>
        <rFont val="돋움"/>
        <family val="2"/>
        <charset val="129"/>
      </rPr>
      <t>연동</t>
    </r>
    <phoneticPr fontId="17" type="noConversion"/>
  </si>
  <si>
    <r>
      <t xml:space="preserve">Netlify </t>
    </r>
    <r>
      <rPr>
        <sz val="10"/>
        <color rgb="FF222222"/>
        <rFont val="돋움"/>
        <family val="2"/>
        <charset val="129"/>
      </rPr>
      <t>배포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환경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구성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외부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접근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가능</t>
    </r>
    <r>
      <rPr>
        <sz val="10"/>
        <color rgb="FF222222"/>
        <rFont val="Arial"/>
        <family val="2"/>
      </rPr>
      <t xml:space="preserve"> URL </t>
    </r>
    <r>
      <rPr>
        <sz val="10"/>
        <color rgb="FF222222"/>
        <rFont val="돋움"/>
        <family val="2"/>
        <charset val="129"/>
      </rPr>
      <t>동작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확인</t>
    </r>
    <phoneticPr fontId="17" type="noConversion"/>
  </si>
  <si>
    <r>
      <rPr>
        <sz val="10"/>
        <color rgb="FF222222"/>
        <rFont val="돋움"/>
        <family val="2"/>
        <charset val="129"/>
      </rPr>
      <t>지정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산출물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제출</t>
    </r>
    <r>
      <rPr>
        <sz val="10"/>
        <color rgb="FF222222"/>
        <rFont val="Arial"/>
        <family val="2"/>
      </rPr>
      <t xml:space="preserve"> (</t>
    </r>
    <r>
      <rPr>
        <sz val="10"/>
        <color rgb="FF222222"/>
        <rFont val="돋움"/>
        <family val="2"/>
        <charset val="129"/>
      </rPr>
      <t>소스코드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배포</t>
    </r>
    <r>
      <rPr>
        <sz val="10"/>
        <color rgb="FF222222"/>
        <rFont val="Arial"/>
        <family val="2"/>
      </rPr>
      <t xml:space="preserve"> URL, 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라이선스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목록이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포함된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명세서</t>
    </r>
    <r>
      <rPr>
        <sz val="10"/>
        <color rgb="FF222222"/>
        <rFont val="Arial"/>
        <family val="2"/>
      </rPr>
      <t xml:space="preserve">, WBS, </t>
    </r>
    <r>
      <rPr>
        <sz val="10"/>
        <color rgb="FF222222"/>
        <rFont val="돋움"/>
        <family val="2"/>
        <charset val="129"/>
      </rPr>
      <t>발표</t>
    </r>
    <r>
      <rPr>
        <sz val="10"/>
        <color rgb="FF222222"/>
        <rFont val="Arial"/>
        <family val="2"/>
      </rPr>
      <t xml:space="preserve"> PPT </t>
    </r>
    <r>
      <rPr>
        <sz val="10"/>
        <color rgb="FF222222"/>
        <rFont val="돋움"/>
        <family val="2"/>
        <charset val="129"/>
      </rPr>
      <t>자료</t>
    </r>
    <r>
      <rPr>
        <sz val="10"/>
        <color rgb="FF222222"/>
        <rFont val="Arial"/>
        <family val="2"/>
      </rPr>
      <t>)</t>
    </r>
    <phoneticPr fontId="17" type="noConversion"/>
  </si>
  <si>
    <r>
      <t>Should / Could have 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 xml:space="preserve"> - </t>
    </r>
    <r>
      <rPr>
        <b/>
        <sz val="10"/>
        <color rgb="FF222222"/>
        <rFont val="맑은 고딕"/>
        <family val="3"/>
        <charset val="129"/>
      </rPr>
      <t>팀이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선정한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기능으로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교체</t>
    </r>
    <r>
      <rPr>
        <b/>
        <sz val="10"/>
        <color rgb="FF222222"/>
        <rFont val="Arial"/>
        <family val="2"/>
      </rPr>
      <t>)</t>
    </r>
    <phoneticPr fontId="17" type="noConversion"/>
  </si>
  <si>
    <r>
      <t>Won't have (</t>
    </r>
    <r>
      <rPr>
        <b/>
        <sz val="10"/>
        <color rgb="FF222222"/>
        <rFont val="맑은 고딕"/>
        <family val="3"/>
        <charset val="129"/>
      </rPr>
      <t>이번</t>
    </r>
    <r>
      <rPr>
        <b/>
        <sz val="10"/>
        <color rgb="FF222222"/>
        <rFont val="Arial"/>
        <family val="2"/>
      </rPr>
      <t xml:space="preserve"> MVP </t>
    </r>
    <r>
      <rPr>
        <b/>
        <sz val="10"/>
        <color rgb="FF222222"/>
        <rFont val="맑은 고딕"/>
        <family val="3"/>
        <charset val="129"/>
      </rPr>
      <t>범위에서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 xml:space="preserve"> - </t>
    </r>
    <r>
      <rPr>
        <b/>
        <sz val="10"/>
        <color rgb="FF222222"/>
        <rFont val="맑은 고딕"/>
        <family val="3"/>
        <charset val="129"/>
      </rPr>
      <t>스코프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크립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범위가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계속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늘어나는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현상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방지</t>
    </r>
    <r>
      <rPr>
        <b/>
        <sz val="10"/>
        <color rgb="FF222222"/>
        <rFont val="Arial"/>
        <family val="2"/>
      </rPr>
      <t>)</t>
    </r>
    <phoneticPr fontId="17" type="noConversion"/>
  </si>
  <si>
    <t>선정하지 않은 나머지 4개 권역 데이터 및 기능</t>
  </si>
  <si>
    <r>
      <rPr>
        <sz val="10"/>
        <color rgb="FF222222"/>
        <rFont val="맑은 고딕"/>
        <family val="3"/>
        <charset val="129"/>
      </rPr>
      <t>선정하지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않은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phoneticPr fontId="17" type="noConversion"/>
  </si>
  <si>
    <r>
      <t>실시간</t>
    </r>
    <r>
      <rPr>
        <sz val="10"/>
        <color rgb="FF222222"/>
        <rFont val="돋움"/>
        <family val="2"/>
        <charset val="129"/>
      </rPr>
      <t xml:space="preserve"> 채팅(WebSocket) - 서버 필요해서 제외</t>
    </r>
    <phoneticPr fontId="17" type="noConversion"/>
  </si>
  <si>
    <t>팀전체</t>
  </si>
  <si>
    <t>설계</t>
    <phoneticPr fontId="17" type="noConversion"/>
  </si>
  <si>
    <t>발표준비</t>
    <phoneticPr fontId="17" type="noConversion"/>
  </si>
  <si>
    <r>
      <rPr>
        <sz val="11"/>
        <color rgb="FF1F1F1F"/>
        <rFont val="맑은 고딕"/>
        <family val="3"/>
        <charset val="129"/>
      </rPr>
      <t>조회수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표시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게시글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검색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북마크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좋아요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이미지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첨부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태그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기능</t>
    </r>
    <phoneticPr fontId="17" type="noConversion"/>
  </si>
  <si>
    <r>
      <rPr>
        <b/>
        <sz val="11"/>
        <color rgb="FF1F1F1F"/>
        <rFont val="맑은 고딕"/>
        <family val="3"/>
        <charset val="129"/>
      </rPr>
      <t>커뮤니티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게시판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추가기능</t>
    </r>
    <phoneticPr fontId="17" type="noConversion"/>
  </si>
  <si>
    <r>
      <rPr>
        <sz val="10"/>
        <color rgb="FF222222"/>
        <rFont val="돋움"/>
        <family val="2"/>
        <charset val="129"/>
      </rPr>
      <t>커뮤니티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게시판</t>
    </r>
    <r>
      <rPr>
        <sz val="10"/>
        <color rgb="FF222222"/>
        <rFont val="Arial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추가기능</t>
    </r>
    <phoneticPr fontId="17" type="noConversion"/>
  </si>
  <si>
    <r>
      <rPr>
        <b/>
        <sz val="11"/>
        <color rgb="FF1F1F1F"/>
        <rFont val="맑은 고딕"/>
        <family val="3"/>
        <charset val="129"/>
      </rPr>
      <t>축제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캘린더</t>
    </r>
    <phoneticPr fontId="17" type="noConversion"/>
  </si>
  <si>
    <r>
      <rPr>
        <sz val="10"/>
        <color rgb="FF222222"/>
        <rFont val="돋움"/>
        <family val="2"/>
        <charset val="129"/>
      </rPr>
      <t>축제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캘린더</t>
    </r>
    <phoneticPr fontId="17" type="noConversion"/>
  </si>
  <si>
    <t>카테고리별 필터링</t>
    <phoneticPr fontId="17" type="noConversion"/>
  </si>
  <si>
    <t>권역 선정 및 UI/UX 화면 기획</t>
  </si>
  <si>
    <t>FE 기본 환경 세팅, 컴포넌트/라우팅 구성</t>
  </si>
  <si>
    <r>
      <t>FE 게시판 CRUD 구현 (</t>
    </r>
    <r>
      <rPr>
        <sz val="10"/>
        <color theme="1"/>
        <rFont val="Google Sans Text"/>
        <family val="2"/>
      </rPr>
      <t>localStorage</t>
    </r>
    <r>
      <rPr>
        <sz val="11"/>
        <color theme="1"/>
        <rFont val="Arial"/>
        <family val="2"/>
      </rPr>
      <t xml:space="preserve"> 연동)</t>
    </r>
  </si>
  <si>
    <t>챗봇 API 연동 및 UI 플로팅 위젯 통합 개발</t>
  </si>
  <si>
    <t>Netlify 배포 환경 구성 및 환경변수(.env) 설정</t>
  </si>
  <si>
    <t>서비스 통합 테스트 및 엣지케이스 버그 수정</t>
  </si>
  <si>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연동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스키마</t>
    </r>
    <r>
      <rPr>
        <sz val="11"/>
        <color theme="1"/>
        <rFont val="Arial"/>
        <family val="2"/>
      </rPr>
      <t xml:space="preserve">(JSON/localStorage) </t>
    </r>
    <r>
      <rPr>
        <sz val="11"/>
        <color theme="1"/>
        <rFont val="맑은 고딕"/>
        <family val="3"/>
        <charset val="129"/>
      </rPr>
      <t>설계</t>
    </r>
    <phoneticPr fontId="17" type="noConversion"/>
  </si>
  <si>
    <t>요구사항 분석 및 MVP 스코프 확정</t>
  </si>
  <si>
    <r>
      <rPr>
        <sz val="11"/>
        <color theme="1"/>
        <rFont val="맑은 고딕"/>
        <family val="3"/>
        <charset val="129"/>
      </rPr>
      <t>기능명세서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작성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출처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라이선스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정리</t>
    </r>
    <phoneticPr fontId="17" type="noConversion"/>
  </si>
  <si>
    <r>
      <t xml:space="preserve">SSAFY Git Lab </t>
    </r>
    <r>
      <rPr>
        <b/>
        <sz val="11"/>
        <color theme="1"/>
        <rFont val="맑은 고딕"/>
        <family val="3"/>
        <charset val="129"/>
      </rPr>
      <t>최종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산출물</t>
    </r>
    <r>
      <rPr>
        <b/>
        <sz val="11"/>
        <color theme="1"/>
        <rFont val="Arial"/>
        <family val="2"/>
      </rPr>
      <t xml:space="preserve"> (</t>
    </r>
    <r>
      <rPr>
        <b/>
        <sz val="11"/>
        <color theme="1"/>
        <rFont val="맑은 고딕"/>
        <family val="3"/>
        <charset val="129"/>
      </rPr>
      <t>소스</t>
    </r>
    <r>
      <rPr>
        <b/>
        <sz val="11"/>
        <color theme="1"/>
        <rFont val="Arial"/>
        <family val="2"/>
      </rPr>
      <t xml:space="preserve">, </t>
    </r>
    <r>
      <rPr>
        <b/>
        <sz val="11"/>
        <color theme="1"/>
        <rFont val="맑은 고딕"/>
        <family val="3"/>
        <charset val="129"/>
      </rPr>
      <t>배포</t>
    </r>
    <r>
      <rPr>
        <b/>
        <sz val="11"/>
        <color theme="1"/>
        <rFont val="Arial"/>
        <family val="2"/>
      </rPr>
      <t xml:space="preserve"> URL, </t>
    </r>
    <r>
      <rPr>
        <b/>
        <sz val="11"/>
        <color theme="1"/>
        <rFont val="맑은 고딕"/>
        <family val="3"/>
        <charset val="129"/>
      </rPr>
      <t>문서</t>
    </r>
    <r>
      <rPr>
        <b/>
        <sz val="11"/>
        <color theme="1"/>
        <rFont val="Arial"/>
        <family val="2"/>
      </rPr>
      <t xml:space="preserve">, PPT) </t>
    </r>
    <r>
      <rPr>
        <b/>
        <sz val="11"/>
        <color theme="1"/>
        <rFont val="맑은 고딕"/>
        <family val="3"/>
        <charset val="129"/>
      </rPr>
      <t>일괄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제출</t>
    </r>
    <phoneticPr fontId="17" type="noConversion"/>
  </si>
  <si>
    <r>
      <rPr>
        <sz val="11"/>
        <color theme="1"/>
        <rFont val="맑은 고딕"/>
        <family val="3"/>
        <charset val="129"/>
      </rPr>
      <t>선택기능</t>
    </r>
    <r>
      <rPr>
        <sz val="11"/>
        <color theme="1"/>
        <rFont val="Arial"/>
        <family val="2"/>
      </rPr>
      <t>(</t>
    </r>
    <r>
      <rPr>
        <sz val="11"/>
        <color theme="1"/>
        <rFont val="돋움"/>
        <family val="2"/>
        <charset val="129"/>
      </rPr>
      <t>지도 시각화, 축제 캘린더, 커뮤니티 게시판 추가 기능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3"/>
        <charset val="129"/>
      </rPr>
      <t>화면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연동</t>
    </r>
    <phoneticPr fontId="17" type="noConversion"/>
  </si>
  <si>
    <r>
      <rPr>
        <sz val="11"/>
        <color theme="1"/>
        <rFont val="맑은 고딕"/>
        <family val="3"/>
        <charset val="129"/>
      </rPr>
      <t>발표</t>
    </r>
    <r>
      <rPr>
        <sz val="11"/>
        <color theme="1"/>
        <rFont val="Arial"/>
        <family val="2"/>
      </rPr>
      <t xml:space="preserve"> PPT </t>
    </r>
    <r>
      <rPr>
        <sz val="11"/>
        <color theme="1"/>
        <rFont val="맑은 고딕"/>
        <family val="3"/>
        <charset val="129"/>
      </rPr>
      <t>제작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시연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리허설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산출물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일괄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제출</t>
    </r>
    <phoneticPr fontId="17" type="noConversion"/>
  </si>
  <si>
    <t>이남호</t>
    <phoneticPr fontId="17" type="noConversion"/>
  </si>
  <si>
    <t>최영동</t>
    <phoneticPr fontId="17" type="noConversion"/>
  </si>
  <si>
    <t>김현재</t>
    <phoneticPr fontId="17" type="noConversion"/>
  </si>
  <si>
    <t>팀전체</t>
    <phoneticPr fontId="17" type="noConversion"/>
  </si>
  <si>
    <r>
      <t>선정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권역</t>
    </r>
    <r>
      <rPr>
        <sz val="10"/>
        <color rgb="FF222222"/>
        <rFont val="Noto Sans CJK SC"/>
        <family val="2"/>
      </rPr>
      <t>(</t>
    </r>
    <r>
      <rPr>
        <sz val="10"/>
        <color rgb="FF222222"/>
        <rFont val="돋움"/>
        <family val="3"/>
        <charset val="129"/>
      </rPr>
      <t>서울</t>
    </r>
    <r>
      <rPr>
        <sz val="10"/>
        <color rgb="FF222222"/>
        <rFont val="Noto Sans CJK SC"/>
        <family val="2"/>
      </rPr>
      <t>)</t>
    </r>
    <r>
      <rPr>
        <sz val="10"/>
        <color rgb="FF222222"/>
        <rFont val="돋움"/>
        <family val="3"/>
        <charset val="129"/>
      </rPr>
      <t>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주민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관광객</t>
    </r>
    <phoneticPr fontId="17" type="noConversion"/>
  </si>
  <si>
    <r>
      <t xml:space="preserve">Leaflet.js </t>
    </r>
    <r>
      <rPr>
        <sz val="11"/>
        <color rgb="FF1F1F1F"/>
        <rFont val="맑은 고딕"/>
        <family val="3"/>
        <charset val="129"/>
      </rPr>
      <t>또는</t>
    </r>
    <r>
      <rPr>
        <sz val="11"/>
        <color rgb="FF1F1F1F"/>
        <rFont val="Arial"/>
        <family val="2"/>
      </rPr>
      <t xml:space="preserve"> Kakao Maps </t>
    </r>
    <r>
      <rPr>
        <sz val="11"/>
        <color rgb="FF1F1F1F"/>
        <rFont val="맑은 고딕"/>
        <family val="3"/>
        <charset val="129"/>
      </rPr>
      <t>등</t>
    </r>
    <r>
      <rPr>
        <sz val="11"/>
        <color rgb="FF1F1F1F"/>
        <rFont val="Arial"/>
        <family val="2"/>
      </rPr>
      <t xml:space="preserve"> API </t>
    </r>
    <r>
      <rPr>
        <sz val="11"/>
        <color rgb="FF1F1F1F"/>
        <rFont val="맑은 고딕"/>
        <family val="3"/>
        <charset val="129"/>
      </rPr>
      <t>기반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관광지</t>
    </r>
    <r>
      <rPr>
        <sz val="11"/>
        <color rgb="FF1F1F1F"/>
        <rFont val="Arial"/>
        <family val="2"/>
      </rPr>
      <t xml:space="preserve">·쇼핑 </t>
    </r>
    <r>
      <rPr>
        <sz val="11"/>
        <color rgb="FF1F1F1F"/>
        <rFont val="맑은 고딕"/>
        <family val="3"/>
        <charset val="129"/>
      </rPr>
      <t>지도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시각화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권역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필터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</si>
</sst>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58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rgb="FF1F1F1F"/>
      <name val="맑은 고딕"/>
      <family val="3"/>
      <charset val="129"/>
    </font>
    <font>
      <sz val="10"/>
      <color rgb="FF222222"/>
      <name val="돋움"/>
      <family val="3"/>
      <charset val="129"/>
    </font>
    <font>
      <sz val="10"/>
      <color rgb="FF222222"/>
      <name val="돋움"/>
      <family val="2"/>
      <charset val="129"/>
    </font>
    <font>
      <sz val="11"/>
      <color theme="1"/>
      <name val="돋움"/>
      <family val="2"/>
      <charset val="129"/>
    </font>
    <font>
      <sz val="10"/>
      <color theme="1"/>
      <name val="돋움"/>
      <family val="3"/>
      <charset val="129"/>
    </font>
    <font>
      <sz val="10"/>
      <color rgb="FF222222"/>
      <name val="Arial"/>
      <family val="2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  <font>
      <sz val="11"/>
      <color rgb="FF1F1F1F"/>
      <name val="Arial"/>
      <family val="3"/>
      <charset val="129"/>
    </font>
    <font>
      <b/>
      <sz val="11"/>
      <color rgb="FF1F1F1F"/>
      <name val="맑은 고딕"/>
      <family val="3"/>
      <charset val="129"/>
    </font>
    <font>
      <b/>
      <sz val="11"/>
      <color rgb="FF1F1F1F"/>
      <name val="Arial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4D6F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9E4B7"/>
        <bgColor indexed="64"/>
      </patternFill>
    </fill>
    <fill>
      <patternFill patternType="solid">
        <fgColor rgb="FFCADCFC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42" fillId="0" borderId="6" xfId="0" applyFont="1" applyBorder="1" applyAlignment="1">
      <alignment horizontal="left" vertical="center" wrapText="1" indent="1"/>
    </xf>
    <xf numFmtId="0" fontId="41" fillId="0" borderId="6" xfId="0" applyFont="1" applyBorder="1" applyAlignment="1">
      <alignment horizontal="left" vertical="center" wrapText="1" indent="1"/>
    </xf>
    <xf numFmtId="0" fontId="44" fillId="0" borderId="6" xfId="0" applyFont="1" applyBorder="1" applyAlignment="1">
      <alignment vertical="center" wrapText="1" readingOrder="1"/>
    </xf>
    <xf numFmtId="0" fontId="45" fillId="0" borderId="6" xfId="0" applyFont="1" applyBorder="1" applyAlignment="1">
      <alignment vertical="center" wrapText="1" readingOrder="1"/>
    </xf>
    <xf numFmtId="0" fontId="48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0" fontId="47" fillId="0" borderId="1" xfId="0" applyFont="1" applyBorder="1" applyAlignment="1">
      <alignment horizontal="left" vertical="center" wrapText="1"/>
    </xf>
    <xf numFmtId="0" fontId="51" fillId="0" borderId="2" xfId="0" applyFont="1" applyBorder="1" applyAlignment="1">
      <alignment horizontal="left" vertical="center" wrapText="1"/>
    </xf>
    <xf numFmtId="0" fontId="42" fillId="0" borderId="6" xfId="0" applyFont="1" applyBorder="1" applyAlignment="1">
      <alignment vertical="center" wrapText="1"/>
    </xf>
    <xf numFmtId="0" fontId="41" fillId="0" borderId="6" xfId="0" applyFont="1" applyBorder="1" applyAlignment="1">
      <alignment vertical="center" wrapText="1"/>
    </xf>
    <xf numFmtId="0" fontId="23" fillId="8" borderId="5" xfId="0" applyFont="1" applyFill="1" applyBorder="1" applyAlignment="1">
      <alignment horizontal="center" vertical="center" wrapText="1"/>
    </xf>
    <xf numFmtId="0" fontId="42" fillId="17" borderId="6" xfId="0" applyFont="1" applyFill="1" applyBorder="1" applyAlignment="1">
      <alignment vertical="center" wrapText="1"/>
    </xf>
    <xf numFmtId="0" fontId="42" fillId="18" borderId="6" xfId="0" applyFont="1" applyFill="1" applyBorder="1" applyAlignment="1">
      <alignment vertical="center" wrapText="1"/>
    </xf>
    <xf numFmtId="0" fontId="42" fillId="19" borderId="6" xfId="0" applyFont="1" applyFill="1" applyBorder="1" applyAlignment="1">
      <alignment vertical="center" wrapText="1"/>
    </xf>
    <xf numFmtId="0" fontId="42" fillId="20" borderId="6" xfId="0" applyFont="1" applyFill="1" applyBorder="1" applyAlignment="1">
      <alignment vertical="center" wrapText="1"/>
    </xf>
    <xf numFmtId="0" fontId="42" fillId="21" borderId="6" xfId="0" applyFont="1" applyFill="1" applyBorder="1" applyAlignment="1">
      <alignment vertical="center" wrapText="1"/>
    </xf>
    <xf numFmtId="0" fontId="42" fillId="22" borderId="6" xfId="0" applyFont="1" applyFill="1" applyBorder="1" applyAlignment="1">
      <alignment vertical="center" wrapText="1"/>
    </xf>
    <xf numFmtId="0" fontId="52" fillId="22" borderId="6" xfId="0" applyFont="1" applyFill="1" applyBorder="1" applyAlignment="1">
      <alignment vertical="center" wrapText="1"/>
    </xf>
    <xf numFmtId="0" fontId="54" fillId="0" borderId="6" xfId="0" applyFont="1" applyBorder="1" applyAlignment="1">
      <alignment vertical="center" wrapText="1"/>
    </xf>
    <xf numFmtId="0" fontId="55" fillId="0" borderId="6" xfId="0" applyFont="1" applyBorder="1" applyAlignment="1">
      <alignment vertical="center" wrapText="1" readingOrder="1"/>
    </xf>
    <xf numFmtId="0" fontId="57" fillId="0" borderId="6" xfId="0" applyFont="1" applyBorder="1" applyAlignment="1">
      <alignment vertical="center" wrapText="1" readingOrder="1"/>
    </xf>
    <xf numFmtId="0" fontId="27" fillId="0" borderId="2" xfId="0" applyFont="1" applyBorder="1" applyAlignment="1">
      <alignment horizontal="left" vertical="center" wrapText="1"/>
    </xf>
    <xf numFmtId="0" fontId="42" fillId="23" borderId="6" xfId="0" applyFont="1" applyFill="1" applyBorder="1" applyAlignment="1">
      <alignment vertical="center" wrapText="1"/>
    </xf>
    <xf numFmtId="0" fontId="1" fillId="12" borderId="0" xfId="0" applyFont="1" applyFill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9E4B7"/>
      <color rgb="FFD0E0E3"/>
      <color rgb="FFF4CCCC"/>
      <color rgb="FFE4D6F0"/>
      <color rgb="FFFCE5CD"/>
      <color rgb="FFD9EAD3"/>
      <color rgb="FFCAD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34" t="s">
        <v>108</v>
      </c>
      <c r="C2" s="34"/>
    </row>
    <row r="4" spans="2:3" ht="19.5" customHeight="1">
      <c r="B4" s="13" t="s">
        <v>109</v>
      </c>
      <c r="C4" s="14" t="s">
        <v>110</v>
      </c>
    </row>
    <row r="5" spans="2:3" ht="36.950000000000003" customHeight="1">
      <c r="B5" s="1" t="s">
        <v>0</v>
      </c>
      <c r="C5" s="14" t="s">
        <v>111</v>
      </c>
    </row>
    <row r="6" spans="2:3" ht="19.5" customHeight="1">
      <c r="B6" s="1" t="s">
        <v>1</v>
      </c>
      <c r="C6" s="3" t="s">
        <v>112</v>
      </c>
    </row>
    <row r="7" spans="2:3" ht="19.5" customHeight="1">
      <c r="B7" s="1" t="s">
        <v>2</v>
      </c>
      <c r="C7" s="3" t="s">
        <v>113</v>
      </c>
    </row>
    <row r="9" spans="2:3" ht="15" customHeight="1">
      <c r="B9" s="30" t="s">
        <v>114</v>
      </c>
      <c r="C9" s="31"/>
    </row>
    <row r="10" spans="2:3" ht="27">
      <c r="B10" s="4" t="s">
        <v>3</v>
      </c>
      <c r="C10" s="14" t="s">
        <v>115</v>
      </c>
    </row>
    <row r="11" spans="2:3" ht="40.5">
      <c r="B11" s="4" t="s">
        <v>116</v>
      </c>
      <c r="C11" s="14" t="s">
        <v>117</v>
      </c>
    </row>
    <row r="12" spans="2:3" ht="33.75" customHeight="1">
      <c r="B12" s="4" t="s">
        <v>118</v>
      </c>
      <c r="C12" s="2" t="s">
        <v>119</v>
      </c>
    </row>
    <row r="13" spans="2:3" ht="33.75" customHeight="1">
      <c r="B13" s="4" t="s">
        <v>120</v>
      </c>
      <c r="C13" s="3" t="s">
        <v>121</v>
      </c>
    </row>
    <row r="14" spans="2:3" ht="33.75" customHeight="1">
      <c r="B14" s="4" t="s">
        <v>122</v>
      </c>
      <c r="C14" s="2" t="s">
        <v>123</v>
      </c>
    </row>
    <row r="15" spans="2:3" ht="33.75" customHeight="1">
      <c r="B15" s="4" t="s">
        <v>4</v>
      </c>
      <c r="C15" s="14" t="s">
        <v>124</v>
      </c>
    </row>
    <row r="17" spans="2:3" ht="15" customHeight="1">
      <c r="B17" s="32" t="s">
        <v>5</v>
      </c>
      <c r="C17" s="33"/>
    </row>
    <row r="18" spans="2:3" ht="27.75" customHeight="1">
      <c r="B18" s="35" t="s">
        <v>125</v>
      </c>
      <c r="C18" s="36"/>
    </row>
    <row r="19" spans="2:3" ht="27.75" customHeight="1">
      <c r="B19" s="28" t="s">
        <v>7</v>
      </c>
      <c r="C19" s="29"/>
    </row>
    <row r="20" spans="2:3" ht="27.75" customHeight="1">
      <c r="B20" s="28" t="s">
        <v>8</v>
      </c>
      <c r="C20" s="29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Normal="100" workbookViewId="0">
      <selection activeCell="D8" sqref="D8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39" t="s">
        <v>9</v>
      </c>
      <c r="C2" s="40"/>
      <c r="D2" s="40"/>
      <c r="E2" s="40"/>
      <c r="F2" s="40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2" t="s">
        <v>142</v>
      </c>
      <c r="C5" s="23" t="s">
        <v>15</v>
      </c>
      <c r="D5" s="14" t="s">
        <v>139</v>
      </c>
      <c r="E5" s="24" t="s">
        <v>140</v>
      </c>
      <c r="F5" s="23" t="s">
        <v>16</v>
      </c>
    </row>
    <row r="6" spans="2:10" ht="129.75" customHeight="1">
      <c r="B6" s="22" t="s">
        <v>143</v>
      </c>
      <c r="C6" s="23" t="s">
        <v>17</v>
      </c>
      <c r="D6" s="14" t="s">
        <v>147</v>
      </c>
      <c r="E6" s="23" t="s">
        <v>18</v>
      </c>
      <c r="F6" s="23" t="s">
        <v>19</v>
      </c>
    </row>
    <row r="7" spans="2:10" ht="129.75" customHeight="1">
      <c r="B7" s="22" t="s">
        <v>20</v>
      </c>
      <c r="C7" s="5" t="s">
        <v>21</v>
      </c>
      <c r="D7" s="21" t="s">
        <v>145</v>
      </c>
      <c r="E7" s="5" t="s">
        <v>22</v>
      </c>
      <c r="F7" s="5" t="s">
        <v>23</v>
      </c>
      <c r="J7" s="26" t="s">
        <v>146</v>
      </c>
    </row>
    <row r="8" spans="2:10" ht="129.75" customHeight="1">
      <c r="B8" s="25" t="s">
        <v>144</v>
      </c>
      <c r="C8" s="5" t="s">
        <v>24</v>
      </c>
      <c r="D8" s="14" t="s">
        <v>141</v>
      </c>
      <c r="E8" s="23" t="s">
        <v>25</v>
      </c>
      <c r="F8" s="5" t="s">
        <v>26</v>
      </c>
    </row>
    <row r="9" spans="2:10" ht="14.1" customHeight="1"/>
    <row r="10" spans="2:10" ht="15" customHeight="1">
      <c r="B10" s="41" t="s">
        <v>126</v>
      </c>
      <c r="C10" s="38"/>
      <c r="D10" s="38"/>
      <c r="E10" s="38"/>
      <c r="F10" s="31"/>
    </row>
    <row r="11" spans="2:10" ht="24" customHeight="1">
      <c r="B11" s="5" t="s">
        <v>6</v>
      </c>
      <c r="C11" s="37" t="s">
        <v>127</v>
      </c>
      <c r="D11" s="38"/>
      <c r="E11" s="38"/>
      <c r="F11" s="38"/>
    </row>
    <row r="12" spans="2:10" ht="24" customHeight="1">
      <c r="B12" s="5" t="s">
        <v>6</v>
      </c>
      <c r="C12" s="37" t="s">
        <v>128</v>
      </c>
      <c r="D12" s="38"/>
      <c r="E12" s="38"/>
      <c r="F12" s="38"/>
    </row>
    <row r="13" spans="2:10" ht="24" customHeight="1">
      <c r="B13" s="5" t="s">
        <v>6</v>
      </c>
      <c r="C13" s="37" t="s">
        <v>129</v>
      </c>
      <c r="D13" s="38"/>
      <c r="E13" s="38"/>
      <c r="F13" s="38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23"/>
  <sheetViews>
    <sheetView showGridLines="0" zoomScaleNormal="100" workbookViewId="0">
      <selection activeCell="E21" sqref="E21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42" t="s">
        <v>27</v>
      </c>
      <c r="C2" s="40"/>
      <c r="D2" s="40"/>
      <c r="E2" s="40"/>
      <c r="F2" s="40"/>
    </row>
    <row r="3" spans="2:6" ht="28.35" customHeight="1">
      <c r="B3" s="43" t="s">
        <v>138</v>
      </c>
      <c r="C3" s="38"/>
      <c r="D3" s="38"/>
      <c r="E3" s="38"/>
      <c r="F3" s="31"/>
    </row>
    <row r="4" spans="2:6" ht="35.65" customHeight="1">
      <c r="B4" s="8" t="s">
        <v>28</v>
      </c>
      <c r="C4" s="8" t="s">
        <v>29</v>
      </c>
      <c r="D4" s="8" t="s">
        <v>30</v>
      </c>
      <c r="E4" s="15" t="s">
        <v>130</v>
      </c>
      <c r="F4" s="8" t="s">
        <v>31</v>
      </c>
    </row>
    <row r="5" spans="2:6" ht="15" customHeight="1" thickBot="1">
      <c r="B5" s="9" t="s">
        <v>32</v>
      </c>
      <c r="C5" s="9"/>
      <c r="D5" s="9"/>
      <c r="E5" s="9"/>
      <c r="F5" s="9"/>
    </row>
    <row r="6" spans="2:6" ht="30" customHeight="1" thickBot="1">
      <c r="B6" s="74" t="s">
        <v>28</v>
      </c>
      <c r="C6" s="74" t="s">
        <v>29</v>
      </c>
      <c r="D6" s="74" t="s">
        <v>148</v>
      </c>
      <c r="E6" s="74" t="s">
        <v>149</v>
      </c>
      <c r="F6" s="74" t="s">
        <v>150</v>
      </c>
    </row>
    <row r="7" spans="2:6" ht="30" customHeight="1" thickBot="1">
      <c r="B7" s="74" t="s">
        <v>151</v>
      </c>
      <c r="C7" s="74" t="s">
        <v>152</v>
      </c>
      <c r="D7" s="75" t="s">
        <v>153</v>
      </c>
      <c r="E7" s="75" t="s">
        <v>154</v>
      </c>
      <c r="F7" s="74" t="s">
        <v>155</v>
      </c>
    </row>
    <row r="8" spans="2:6" ht="30" customHeight="1" thickBot="1">
      <c r="B8" s="74" t="s">
        <v>151</v>
      </c>
      <c r="C8" s="74" t="s">
        <v>156</v>
      </c>
      <c r="D8" s="75" t="s">
        <v>157</v>
      </c>
      <c r="E8" s="75" t="s">
        <v>158</v>
      </c>
      <c r="F8" s="75" t="s">
        <v>159</v>
      </c>
    </row>
    <row r="9" spans="2:6" ht="30" customHeight="1" thickBot="1">
      <c r="B9" s="74" t="s">
        <v>151</v>
      </c>
      <c r="C9" s="74" t="s">
        <v>160</v>
      </c>
      <c r="D9" s="75" t="s">
        <v>161</v>
      </c>
      <c r="E9" s="75" t="s">
        <v>162</v>
      </c>
      <c r="F9" s="75" t="s">
        <v>163</v>
      </c>
    </row>
    <row r="10" spans="2:6" ht="30" customHeight="1" thickBot="1">
      <c r="B10" s="74" t="s">
        <v>151</v>
      </c>
      <c r="C10" s="74" t="s">
        <v>164</v>
      </c>
      <c r="D10" s="75" t="s">
        <v>165</v>
      </c>
      <c r="E10" s="75" t="s">
        <v>166</v>
      </c>
      <c r="F10" s="75" t="s">
        <v>167</v>
      </c>
    </row>
    <row r="11" spans="2:6" ht="30" customHeight="1" thickBot="1">
      <c r="B11" s="74" t="s">
        <v>168</v>
      </c>
      <c r="C11" s="74" t="s">
        <v>169</v>
      </c>
      <c r="D11" s="75" t="s">
        <v>170</v>
      </c>
      <c r="E11" s="75" t="s">
        <v>171</v>
      </c>
      <c r="F11" s="75" t="s">
        <v>172</v>
      </c>
    </row>
    <row r="12" spans="2:6" ht="30" customHeight="1" thickBot="1">
      <c r="B12" s="74" t="s">
        <v>168</v>
      </c>
      <c r="C12" s="74" t="s">
        <v>173</v>
      </c>
      <c r="D12" s="75" t="s">
        <v>174</v>
      </c>
      <c r="E12" s="75" t="s">
        <v>175</v>
      </c>
      <c r="F12" s="75" t="s">
        <v>176</v>
      </c>
    </row>
    <row r="13" spans="2:6" ht="30" customHeight="1" thickBot="1">
      <c r="B13" s="74" t="s">
        <v>168</v>
      </c>
      <c r="C13" s="74" t="s">
        <v>177</v>
      </c>
      <c r="D13" s="75" t="s">
        <v>178</v>
      </c>
      <c r="E13" s="75" t="s">
        <v>179</v>
      </c>
      <c r="F13" s="75" t="s">
        <v>180</v>
      </c>
    </row>
    <row r="14" spans="2:6" ht="30" customHeight="1" thickBot="1">
      <c r="B14" s="74" t="s">
        <v>168</v>
      </c>
      <c r="C14" s="74" t="s">
        <v>181</v>
      </c>
      <c r="D14" s="75" t="s">
        <v>182</v>
      </c>
      <c r="E14" s="75" t="s">
        <v>183</v>
      </c>
      <c r="F14" s="75" t="s">
        <v>184</v>
      </c>
    </row>
    <row r="15" spans="2:6" ht="30" customHeight="1" thickBot="1">
      <c r="B15" s="74" t="s">
        <v>185</v>
      </c>
      <c r="C15" s="74" t="s">
        <v>186</v>
      </c>
      <c r="D15" s="75" t="s">
        <v>187</v>
      </c>
      <c r="E15" s="75" t="s">
        <v>188</v>
      </c>
      <c r="F15" s="75" t="s">
        <v>189</v>
      </c>
    </row>
    <row r="16" spans="2:6" ht="30" customHeight="1">
      <c r="B16" s="3"/>
      <c r="C16" s="2"/>
      <c r="D16" s="2"/>
      <c r="E16" s="2"/>
      <c r="F16" s="2"/>
    </row>
    <row r="17" spans="2:6" ht="30" customHeight="1">
      <c r="B17" s="3"/>
      <c r="C17" s="2"/>
      <c r="D17" s="2"/>
      <c r="E17" s="2"/>
      <c r="F17" s="2"/>
    </row>
    <row r="18" spans="2:6" ht="30" customHeight="1">
      <c r="B18" s="3"/>
      <c r="C18" s="2"/>
      <c r="D18" s="2"/>
      <c r="E18" s="2"/>
      <c r="F18" s="2"/>
    </row>
    <row r="19" spans="2:6" ht="30" customHeight="1">
      <c r="B19" s="3"/>
      <c r="C19" s="2"/>
      <c r="D19" s="2"/>
      <c r="E19" s="2"/>
      <c r="F19" s="2"/>
    </row>
    <row r="20" spans="2:6" ht="30" customHeight="1">
      <c r="B20" s="3"/>
      <c r="C20" s="2"/>
      <c r="D20" s="2"/>
      <c r="E20" s="2"/>
      <c r="F20" s="2"/>
    </row>
    <row r="21" spans="2:6" ht="30" customHeight="1">
      <c r="B21" s="3"/>
      <c r="C21" s="2"/>
      <c r="D21" s="2"/>
      <c r="E21" s="2"/>
      <c r="F21" s="2"/>
    </row>
    <row r="22" spans="2:6" ht="30" customHeight="1">
      <c r="B22" s="3"/>
      <c r="C22" s="2"/>
      <c r="D22" s="2"/>
      <c r="E22" s="2"/>
      <c r="F22" s="2"/>
    </row>
    <row r="23" spans="2:6" ht="30" customHeight="1">
      <c r="B23" s="3"/>
      <c r="C23" s="2"/>
      <c r="D23" s="2"/>
      <c r="E23" s="2"/>
      <c r="F23" s="2"/>
    </row>
  </sheetData>
  <mergeCells count="2">
    <mergeCell ref="B2:F2"/>
    <mergeCell ref="B3:F3"/>
  </mergeCells>
  <phoneticPr fontId="17" type="noConversion"/>
  <dataValidations count="1">
    <dataValidation type="list" allowBlank="1" sqref="B1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5"/>
  <sheetViews>
    <sheetView showGridLines="0" zoomScaleNormal="100" workbookViewId="0">
      <selection activeCell="B11" sqref="B11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39" t="s">
        <v>33</v>
      </c>
      <c r="C2" s="40"/>
      <c r="D2" s="40"/>
      <c r="E2" s="40"/>
      <c r="F2" s="40"/>
      <c r="G2" s="40"/>
      <c r="H2" s="40"/>
    </row>
    <row r="3" spans="2:8" ht="72.400000000000006" customHeight="1">
      <c r="B3" s="44" t="s">
        <v>132</v>
      </c>
      <c r="C3" s="38"/>
      <c r="D3" s="38"/>
      <c r="E3" s="38"/>
      <c r="F3" s="38"/>
      <c r="G3" s="38"/>
      <c r="H3" s="31"/>
    </row>
    <row r="4" spans="2:8" ht="18" customHeight="1">
      <c r="B4" s="45" t="s">
        <v>34</v>
      </c>
      <c r="C4" s="38"/>
      <c r="D4" s="38"/>
      <c r="E4" s="38"/>
      <c r="F4" s="38"/>
      <c r="G4" s="38"/>
      <c r="H4" s="31"/>
    </row>
    <row r="5" spans="2:8" ht="31.5" customHeight="1" thickBot="1">
      <c r="B5" s="10" t="s">
        <v>35</v>
      </c>
      <c r="C5" s="10" t="s">
        <v>36</v>
      </c>
      <c r="D5" s="17" t="s">
        <v>37</v>
      </c>
      <c r="E5" s="11" t="s">
        <v>38</v>
      </c>
      <c r="F5" s="11" t="s">
        <v>39</v>
      </c>
      <c r="G5" s="10" t="s">
        <v>40</v>
      </c>
      <c r="H5" s="11" t="s">
        <v>41</v>
      </c>
    </row>
    <row r="6" spans="2:8" ht="33.75" customHeight="1" thickBot="1">
      <c r="B6" s="76" t="s">
        <v>190</v>
      </c>
      <c r="C6" s="77" t="s">
        <v>191</v>
      </c>
      <c r="D6" s="77">
        <v>1</v>
      </c>
      <c r="E6" s="77">
        <v>5</v>
      </c>
      <c r="F6" s="77">
        <v>3</v>
      </c>
      <c r="G6" s="5">
        <f>IF(OR(E6="",F6=""),"",E6*F6*2)</f>
        <v>30</v>
      </c>
      <c r="H6" s="5" t="s">
        <v>205</v>
      </c>
    </row>
    <row r="7" spans="2:8" ht="33.75" customHeight="1" thickBot="1">
      <c r="B7" s="76" t="s">
        <v>192</v>
      </c>
      <c r="C7" s="77" t="s">
        <v>193</v>
      </c>
      <c r="D7" s="77">
        <v>2</v>
      </c>
      <c r="E7" s="77">
        <v>4</v>
      </c>
      <c r="F7" s="77">
        <v>3</v>
      </c>
      <c r="G7" s="5">
        <f t="shared" ref="G6:G14" si="0">IF(OR(E7="",F7=""),"",E7*F7*2)</f>
        <v>24</v>
      </c>
      <c r="H7" s="5" t="s">
        <v>206</v>
      </c>
    </row>
    <row r="8" spans="2:8" ht="33.75" customHeight="1" thickBot="1">
      <c r="B8" s="76" t="s">
        <v>194</v>
      </c>
      <c r="C8" s="77" t="s">
        <v>203</v>
      </c>
      <c r="D8" s="77">
        <v>1.5</v>
      </c>
      <c r="E8" s="77">
        <v>4.5</v>
      </c>
      <c r="F8" s="77">
        <v>3</v>
      </c>
      <c r="G8" s="5">
        <f t="shared" si="0"/>
        <v>27</v>
      </c>
      <c r="H8" s="5" t="s">
        <v>205</v>
      </c>
    </row>
    <row r="9" spans="2:8" ht="33.75" customHeight="1" thickBot="1">
      <c r="B9" s="76" t="s">
        <v>195</v>
      </c>
      <c r="C9" s="77" t="s">
        <v>246</v>
      </c>
      <c r="D9" s="77">
        <v>2.5</v>
      </c>
      <c r="E9" s="77">
        <v>3.5</v>
      </c>
      <c r="F9" s="77">
        <v>5</v>
      </c>
      <c r="G9" s="5">
        <f t="shared" si="0"/>
        <v>35</v>
      </c>
      <c r="H9" s="78" t="s">
        <v>204</v>
      </c>
    </row>
    <row r="10" spans="2:8" ht="33.75" customHeight="1" thickBot="1">
      <c r="B10" s="95" t="s">
        <v>224</v>
      </c>
      <c r="C10" s="94" t="s">
        <v>223</v>
      </c>
      <c r="D10" s="77">
        <v>2</v>
      </c>
      <c r="E10" s="77">
        <v>4</v>
      </c>
      <c r="F10" s="77">
        <v>3</v>
      </c>
      <c r="G10" s="5">
        <f t="shared" si="0"/>
        <v>24</v>
      </c>
      <c r="H10" s="5" t="s">
        <v>206</v>
      </c>
    </row>
    <row r="11" spans="2:8" ht="33.75" customHeight="1" thickBot="1">
      <c r="B11" s="95" t="s">
        <v>226</v>
      </c>
      <c r="C11" s="77" t="s">
        <v>196</v>
      </c>
      <c r="D11" s="77">
        <v>1</v>
      </c>
      <c r="E11" s="77">
        <v>3</v>
      </c>
      <c r="F11" s="77">
        <v>5</v>
      </c>
      <c r="G11" s="5">
        <f t="shared" si="0"/>
        <v>30</v>
      </c>
      <c r="H11" s="78" t="s">
        <v>205</v>
      </c>
    </row>
    <row r="12" spans="2:8" ht="33.75" customHeight="1" thickBot="1">
      <c r="B12" s="76" t="s">
        <v>197</v>
      </c>
      <c r="C12" s="77" t="s">
        <v>198</v>
      </c>
      <c r="D12" s="77">
        <v>4.5</v>
      </c>
      <c r="E12" s="77">
        <v>1.5</v>
      </c>
      <c r="F12" s="77">
        <v>5</v>
      </c>
      <c r="G12" s="5">
        <f t="shared" si="0"/>
        <v>15</v>
      </c>
      <c r="H12" s="78" t="s">
        <v>206</v>
      </c>
    </row>
    <row r="13" spans="2:8" ht="33.75" customHeight="1" thickBot="1">
      <c r="B13" s="76" t="s">
        <v>199</v>
      </c>
      <c r="C13" s="77" t="s">
        <v>200</v>
      </c>
      <c r="D13" s="77">
        <v>3.5</v>
      </c>
      <c r="E13" s="77">
        <v>2.5</v>
      </c>
      <c r="F13" s="77">
        <v>2</v>
      </c>
      <c r="G13" s="5">
        <f t="shared" si="0"/>
        <v>10</v>
      </c>
      <c r="H13" s="78" t="s">
        <v>206</v>
      </c>
    </row>
    <row r="14" spans="2:8" ht="43.5" thickBot="1">
      <c r="B14" s="76" t="s">
        <v>201</v>
      </c>
      <c r="C14" s="77" t="s">
        <v>202</v>
      </c>
      <c r="D14" s="77">
        <v>5</v>
      </c>
      <c r="E14" s="77">
        <v>0</v>
      </c>
      <c r="F14" s="77">
        <v>0</v>
      </c>
      <c r="G14" s="5">
        <f t="shared" si="0"/>
        <v>0</v>
      </c>
      <c r="H14" s="79" t="s">
        <v>206</v>
      </c>
    </row>
    <row r="15" spans="2:8" ht="118.7" customHeight="1">
      <c r="B15" s="16" t="s">
        <v>131</v>
      </c>
      <c r="C15" s="46"/>
      <c r="D15" s="47"/>
      <c r="E15" s="47"/>
      <c r="F15" s="47"/>
      <c r="G15" s="47"/>
      <c r="H15" s="48"/>
    </row>
  </sheetData>
  <mergeCells count="4">
    <mergeCell ref="B3:H3"/>
    <mergeCell ref="B2:H2"/>
    <mergeCell ref="B4:H4"/>
    <mergeCell ref="C15:H15"/>
  </mergeCells>
  <phoneticPr fontId="17" type="noConversion"/>
  <conditionalFormatting sqref="G6:G14">
    <cfRule type="expression" dxfId="1" priority="2">
      <formula>AND(G6&lt;&gt;"",G6&gt;=32)</formula>
    </cfRule>
  </conditionalFormatting>
  <dataValidations count="2">
    <dataValidation type="list" allowBlank="1" sqref="E6:F13" xr:uid="{00000000-0002-0000-0300-000000000000}">
      <formula1>"1,2,3,4,5"</formula1>
      <formula2>0</formula2>
    </dataValidation>
    <dataValidation type="list" allowBlank="1" sqref="H6:H13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4"/>
  <sheetViews>
    <sheetView showGridLines="0" zoomScaleNormal="100" workbookViewId="0">
      <selection activeCell="B17" sqref="B17:C17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42" t="s">
        <v>42</v>
      </c>
      <c r="C2" s="40"/>
    </row>
    <row r="3" spans="2:3" ht="18" customHeight="1">
      <c r="B3" s="51" t="s">
        <v>43</v>
      </c>
      <c r="C3" s="31"/>
    </row>
    <row r="4" spans="2:3" ht="30" customHeight="1">
      <c r="B4" s="1" t="s">
        <v>44</v>
      </c>
      <c r="C4" s="2" t="s">
        <v>207</v>
      </c>
    </row>
    <row r="5" spans="2:3" ht="30" customHeight="1">
      <c r="B5" s="1" t="s">
        <v>45</v>
      </c>
      <c r="C5" s="80" t="s">
        <v>208</v>
      </c>
    </row>
    <row r="6" spans="2:3" ht="30" customHeight="1">
      <c r="B6" s="1" t="s">
        <v>46</v>
      </c>
      <c r="C6" s="81" t="s">
        <v>245</v>
      </c>
    </row>
    <row r="7" spans="2:3" ht="30" customHeight="1">
      <c r="B7" s="1" t="s">
        <v>47</v>
      </c>
      <c r="C7" s="2" t="s">
        <v>209</v>
      </c>
    </row>
    <row r="8" spans="2:3">
      <c r="C8" s="27"/>
    </row>
    <row r="9" spans="2:3" ht="15" customHeight="1">
      <c r="B9" s="49" t="s">
        <v>48</v>
      </c>
      <c r="C9" s="50"/>
    </row>
    <row r="10" spans="2:3" ht="25.5" customHeight="1">
      <c r="B10" s="82" t="s">
        <v>210</v>
      </c>
      <c r="C10" s="36"/>
    </row>
    <row r="11" spans="2:3" ht="25.5" customHeight="1">
      <c r="B11" s="82" t="s">
        <v>211</v>
      </c>
      <c r="C11" s="36"/>
    </row>
    <row r="12" spans="2:3" ht="25.5" customHeight="1">
      <c r="B12" s="35" t="s">
        <v>212</v>
      </c>
      <c r="C12" s="36"/>
    </row>
    <row r="13" spans="2:3" ht="25.5" customHeight="1">
      <c r="B13" s="35" t="s">
        <v>213</v>
      </c>
      <c r="C13" s="36"/>
    </row>
    <row r="14" spans="2:3" ht="25.5" customHeight="1">
      <c r="B14" s="82" t="s">
        <v>214</v>
      </c>
      <c r="C14" s="36"/>
    </row>
    <row r="16" spans="2:3" ht="15" customHeight="1">
      <c r="B16" s="54" t="s">
        <v>215</v>
      </c>
      <c r="C16" s="55"/>
    </row>
    <row r="17" spans="2:3" ht="25.5" customHeight="1">
      <c r="B17" s="82" t="s">
        <v>225</v>
      </c>
      <c r="C17" s="36"/>
    </row>
    <row r="18" spans="2:3" ht="25.5" customHeight="1">
      <c r="B18" s="96" t="s">
        <v>227</v>
      </c>
      <c r="C18" s="29"/>
    </row>
    <row r="19" spans="2:3" ht="25.5" customHeight="1">
      <c r="B19" s="28" t="s">
        <v>228</v>
      </c>
      <c r="C19" s="29"/>
    </row>
    <row r="21" spans="2:3" ht="15" customHeight="1">
      <c r="B21" s="52" t="s">
        <v>216</v>
      </c>
      <c r="C21" s="53"/>
    </row>
    <row r="22" spans="2:3" ht="25.5" customHeight="1">
      <c r="B22" s="35" t="s">
        <v>219</v>
      </c>
      <c r="C22" s="36"/>
    </row>
    <row r="23" spans="2:3" ht="25.5" customHeight="1">
      <c r="B23" s="28" t="s">
        <v>217</v>
      </c>
      <c r="C23" s="29"/>
    </row>
    <row r="24" spans="2:3" ht="25.5" customHeight="1">
      <c r="B24" s="37" t="s">
        <v>218</v>
      </c>
      <c r="C24" s="29"/>
    </row>
  </sheetData>
  <mergeCells count="16">
    <mergeCell ref="B24:C24"/>
    <mergeCell ref="B13:C13"/>
    <mergeCell ref="B14:C14"/>
    <mergeCell ref="B17:C17"/>
    <mergeCell ref="B18:C18"/>
    <mergeCell ref="B19:C19"/>
    <mergeCell ref="B21:C21"/>
    <mergeCell ref="B16:C16"/>
    <mergeCell ref="B9:C9"/>
    <mergeCell ref="B22:C22"/>
    <mergeCell ref="B23:C23"/>
    <mergeCell ref="B3:C3"/>
    <mergeCell ref="B2:C2"/>
    <mergeCell ref="B10:C10"/>
    <mergeCell ref="B11:C11"/>
    <mergeCell ref="B12:C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8"/>
  <sheetViews>
    <sheetView showGridLines="0" tabSelected="1" topLeftCell="C1" zoomScaleNormal="100" workbookViewId="0">
      <selection activeCell="P14" sqref="P14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57" t="s">
        <v>49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2:13" ht="79.7" customHeight="1">
      <c r="B3" s="56" t="s">
        <v>133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1"/>
    </row>
    <row r="4" spans="2:13" ht="25.5" customHeight="1" thickBot="1">
      <c r="B4" s="12" t="s">
        <v>50</v>
      </c>
      <c r="C4" s="11" t="s">
        <v>51</v>
      </c>
      <c r="D4" s="11" t="s">
        <v>52</v>
      </c>
      <c r="E4" s="11" t="s">
        <v>53</v>
      </c>
      <c r="F4" s="20" t="s">
        <v>136</v>
      </c>
      <c r="G4" s="20" t="s">
        <v>137</v>
      </c>
      <c r="H4" s="17" t="s">
        <v>54</v>
      </c>
      <c r="I4" s="19" t="s">
        <v>135</v>
      </c>
      <c r="J4" s="11" t="s">
        <v>55</v>
      </c>
      <c r="K4" s="18">
        <v>1</v>
      </c>
      <c r="L4" s="18">
        <v>2</v>
      </c>
      <c r="M4" s="18">
        <v>3</v>
      </c>
    </row>
    <row r="5" spans="2:13" ht="30" customHeight="1" thickBot="1">
      <c r="B5" s="5">
        <v>1</v>
      </c>
      <c r="C5" s="97" t="s">
        <v>56</v>
      </c>
      <c r="D5" s="84" t="s">
        <v>236</v>
      </c>
      <c r="E5" s="84" t="s">
        <v>220</v>
      </c>
      <c r="F5" s="5">
        <v>1</v>
      </c>
      <c r="G5" s="5">
        <v>1</v>
      </c>
      <c r="H5" s="5">
        <f t="shared" ref="H5:H18" si="0">IF(OR(F5="",G5=""),"",G5-F5+1)</f>
        <v>1</v>
      </c>
      <c r="I5" s="5"/>
      <c r="J5" s="5"/>
      <c r="K5" s="3"/>
      <c r="L5" s="3"/>
      <c r="M5" s="3"/>
    </row>
    <row r="6" spans="2:13" ht="30" customHeight="1" thickBot="1">
      <c r="B6" s="5">
        <v>2</v>
      </c>
      <c r="C6" s="97" t="s">
        <v>56</v>
      </c>
      <c r="D6" s="84" t="s">
        <v>229</v>
      </c>
      <c r="E6" s="84" t="s">
        <v>241</v>
      </c>
      <c r="F6" s="5">
        <v>1</v>
      </c>
      <c r="G6" s="5">
        <v>1</v>
      </c>
      <c r="H6" s="5">
        <f t="shared" si="0"/>
        <v>1</v>
      </c>
      <c r="I6" s="5"/>
      <c r="J6" s="5"/>
      <c r="K6" s="3"/>
      <c r="L6" s="3"/>
      <c r="M6" s="3"/>
    </row>
    <row r="7" spans="2:13" ht="30" customHeight="1" thickBot="1">
      <c r="B7" s="5">
        <v>3</v>
      </c>
      <c r="C7" s="86" t="s">
        <v>57</v>
      </c>
      <c r="D7" s="93" t="s">
        <v>235</v>
      </c>
      <c r="E7" s="84" t="s">
        <v>243</v>
      </c>
      <c r="F7" s="5">
        <v>1</v>
      </c>
      <c r="G7" s="5">
        <v>1</v>
      </c>
      <c r="H7" s="5">
        <f t="shared" si="0"/>
        <v>1</v>
      </c>
      <c r="I7" s="5"/>
      <c r="J7" s="5"/>
      <c r="K7" s="3"/>
      <c r="L7" s="3"/>
      <c r="M7" s="3"/>
    </row>
    <row r="8" spans="2:13" ht="30" customHeight="1" thickBot="1">
      <c r="B8" s="5">
        <v>4</v>
      </c>
      <c r="C8" s="87" t="s">
        <v>58</v>
      </c>
      <c r="D8" s="84" t="s">
        <v>230</v>
      </c>
      <c r="E8" s="84" t="s">
        <v>241</v>
      </c>
      <c r="F8" s="5">
        <v>1</v>
      </c>
      <c r="G8" s="5">
        <v>2</v>
      </c>
      <c r="H8" s="5">
        <f t="shared" si="0"/>
        <v>2</v>
      </c>
      <c r="I8" s="5"/>
      <c r="J8" s="5"/>
      <c r="K8" s="3"/>
      <c r="L8" s="3"/>
      <c r="M8" s="3"/>
    </row>
    <row r="9" spans="2:13" ht="30" customHeight="1" thickBot="1">
      <c r="B9" s="5">
        <v>5</v>
      </c>
      <c r="C9" s="87" t="s">
        <v>58</v>
      </c>
      <c r="D9" s="84" t="s">
        <v>231</v>
      </c>
      <c r="E9" s="84" t="s">
        <v>243</v>
      </c>
      <c r="F9" s="5">
        <v>2</v>
      </c>
      <c r="G9" s="5">
        <v>2</v>
      </c>
      <c r="H9" s="5">
        <f t="shared" si="0"/>
        <v>1</v>
      </c>
      <c r="I9" s="5"/>
      <c r="J9" s="5"/>
      <c r="K9" s="3"/>
      <c r="L9" s="3"/>
      <c r="M9" s="3"/>
    </row>
    <row r="10" spans="2:13" ht="30" customHeight="1" thickBot="1">
      <c r="B10" s="5">
        <v>6</v>
      </c>
      <c r="C10" s="87" t="s">
        <v>58</v>
      </c>
      <c r="D10" s="84" t="s">
        <v>232</v>
      </c>
      <c r="E10" s="99" t="s">
        <v>243</v>
      </c>
      <c r="F10" s="5">
        <v>2</v>
      </c>
      <c r="G10" s="5">
        <v>3</v>
      </c>
      <c r="H10" s="5">
        <f t="shared" si="0"/>
        <v>2</v>
      </c>
      <c r="I10" s="5"/>
      <c r="J10" s="5"/>
      <c r="K10" s="3"/>
      <c r="L10" s="3"/>
      <c r="M10" s="3"/>
    </row>
    <row r="11" spans="2:13" ht="30" customHeight="1" thickBot="1">
      <c r="B11" s="5">
        <v>7</v>
      </c>
      <c r="C11" s="87" t="s">
        <v>58</v>
      </c>
      <c r="D11" s="93" t="s">
        <v>239</v>
      </c>
      <c r="E11" s="84" t="s">
        <v>241</v>
      </c>
      <c r="F11" s="5">
        <v>2</v>
      </c>
      <c r="G11" s="5">
        <v>2</v>
      </c>
      <c r="H11" s="5">
        <f t="shared" si="0"/>
        <v>1</v>
      </c>
      <c r="I11" s="5"/>
      <c r="J11" s="5"/>
      <c r="K11" s="3"/>
      <c r="L11" s="3"/>
      <c r="M11" s="3"/>
    </row>
    <row r="12" spans="2:13" ht="30" customHeight="1" thickBot="1">
      <c r="B12" s="5">
        <v>8</v>
      </c>
      <c r="C12" s="88" t="s">
        <v>59</v>
      </c>
      <c r="D12" s="84" t="s">
        <v>233</v>
      </c>
      <c r="E12" s="99" t="s">
        <v>242</v>
      </c>
      <c r="F12" s="5">
        <v>3</v>
      </c>
      <c r="G12" s="5">
        <v>3</v>
      </c>
      <c r="H12" s="5">
        <f t="shared" si="0"/>
        <v>1</v>
      </c>
      <c r="I12" s="5"/>
      <c r="J12" s="5"/>
      <c r="K12" s="3"/>
      <c r="L12" s="3"/>
      <c r="M12" s="3"/>
    </row>
    <row r="13" spans="2:13" ht="30" customHeight="1" thickBot="1">
      <c r="B13" s="5">
        <v>9</v>
      </c>
      <c r="C13" s="89" t="s">
        <v>60</v>
      </c>
      <c r="D13" s="84" t="s">
        <v>234</v>
      </c>
      <c r="E13" s="84" t="s">
        <v>242</v>
      </c>
      <c r="F13" s="5">
        <v>3</v>
      </c>
      <c r="G13" s="5">
        <v>3</v>
      </c>
      <c r="H13" s="5">
        <f t="shared" si="0"/>
        <v>1</v>
      </c>
      <c r="I13" s="5"/>
      <c r="J13" s="5"/>
      <c r="K13" s="3"/>
      <c r="L13" s="3"/>
      <c r="M13" s="3"/>
    </row>
    <row r="14" spans="2:13" ht="30" customHeight="1" thickBot="1">
      <c r="B14" s="5">
        <v>10</v>
      </c>
      <c r="C14" s="90" t="s">
        <v>61</v>
      </c>
      <c r="D14" s="93" t="s">
        <v>237</v>
      </c>
      <c r="E14" s="84" t="s">
        <v>244</v>
      </c>
      <c r="F14" s="5">
        <v>2</v>
      </c>
      <c r="G14" s="5">
        <v>3</v>
      </c>
      <c r="H14" s="5">
        <f t="shared" si="0"/>
        <v>2</v>
      </c>
      <c r="I14" s="5"/>
      <c r="J14" s="5"/>
      <c r="K14" s="3"/>
      <c r="L14" s="3"/>
      <c r="M14" s="3"/>
    </row>
    <row r="15" spans="2:13" ht="30" customHeight="1" thickBot="1">
      <c r="B15" s="5">
        <v>11</v>
      </c>
      <c r="C15" s="91" t="s">
        <v>62</v>
      </c>
      <c r="D15" s="93" t="s">
        <v>240</v>
      </c>
      <c r="E15" s="84" t="s">
        <v>220</v>
      </c>
      <c r="F15" s="5">
        <v>3</v>
      </c>
      <c r="G15" s="5">
        <v>3</v>
      </c>
      <c r="H15" s="5">
        <f t="shared" si="0"/>
        <v>1</v>
      </c>
      <c r="I15" s="5"/>
      <c r="J15" s="5"/>
      <c r="K15" s="3"/>
      <c r="L15" s="3"/>
      <c r="M15" s="3"/>
    </row>
    <row r="16" spans="2:13" ht="30" customHeight="1" thickBot="1">
      <c r="B16" s="5">
        <v>12</v>
      </c>
      <c r="C16" s="92" t="s">
        <v>222</v>
      </c>
      <c r="D16" s="83" t="s">
        <v>238</v>
      </c>
      <c r="E16" s="84" t="s">
        <v>220</v>
      </c>
      <c r="F16" s="5">
        <v>3</v>
      </c>
      <c r="G16" s="5">
        <v>3</v>
      </c>
      <c r="H16" s="5">
        <f t="shared" si="0"/>
        <v>1</v>
      </c>
      <c r="I16" s="5"/>
      <c r="J16" s="5"/>
      <c r="K16" s="3"/>
      <c r="L16" s="3"/>
      <c r="M16" s="3"/>
    </row>
    <row r="17" spans="2:13" ht="30" customHeight="1">
      <c r="B17" s="5">
        <v>13</v>
      </c>
      <c r="C17" s="5"/>
      <c r="D17" s="2"/>
      <c r="E17" s="5"/>
      <c r="F17" s="5"/>
      <c r="G17" s="5"/>
      <c r="H17" s="5" t="str">
        <f t="shared" si="0"/>
        <v/>
      </c>
      <c r="I17" s="5"/>
      <c r="J17" s="5"/>
      <c r="K17" s="3"/>
      <c r="L17" s="3"/>
      <c r="M17" s="3"/>
    </row>
    <row r="18" spans="2:13" ht="30" customHeight="1">
      <c r="B18" s="5">
        <v>14</v>
      </c>
      <c r="C18" s="5"/>
      <c r="D18" s="2"/>
      <c r="E18" s="5"/>
      <c r="F18" s="5"/>
      <c r="G18" s="5"/>
      <c r="H18" s="5" t="str">
        <f t="shared" si="0"/>
        <v/>
      </c>
      <c r="I18" s="5"/>
      <c r="J18" s="5"/>
      <c r="K18" s="3"/>
      <c r="L18" s="3"/>
      <c r="M18" s="3"/>
    </row>
    <row r="20" spans="2:13" ht="15" customHeight="1">
      <c r="B20" s="58" t="s">
        <v>134</v>
      </c>
      <c r="C20" s="59"/>
    </row>
    <row r="21" spans="2:13" ht="15" customHeight="1">
      <c r="B21" s="60" t="s">
        <v>56</v>
      </c>
      <c r="C21" s="61"/>
    </row>
    <row r="22" spans="2:13" ht="15" customHeight="1">
      <c r="B22" s="85" t="s">
        <v>221</v>
      </c>
      <c r="C22" s="62"/>
    </row>
    <row r="23" spans="2:13" ht="15" customHeight="1">
      <c r="B23" s="65" t="s">
        <v>58</v>
      </c>
      <c r="C23" s="66"/>
    </row>
    <row r="24" spans="2:13" ht="15" customHeight="1">
      <c r="B24" s="67" t="s">
        <v>59</v>
      </c>
      <c r="C24" s="98"/>
    </row>
    <row r="25" spans="2:13" ht="15" customHeight="1">
      <c r="B25" s="68" t="s">
        <v>60</v>
      </c>
      <c r="C25" s="69"/>
    </row>
    <row r="26" spans="2:13" ht="15" customHeight="1">
      <c r="B26" s="70" t="s">
        <v>61</v>
      </c>
      <c r="C26" s="71"/>
    </row>
    <row r="27" spans="2:13" ht="15" customHeight="1">
      <c r="B27" s="72" t="s">
        <v>62</v>
      </c>
      <c r="C27" s="73"/>
    </row>
    <row r="28" spans="2:13" ht="15" customHeight="1">
      <c r="B28" s="63" t="s">
        <v>63</v>
      </c>
      <c r="C28" s="64"/>
    </row>
  </sheetData>
  <mergeCells count="11">
    <mergeCell ref="B28:C28"/>
    <mergeCell ref="B23:C23"/>
    <mergeCell ref="B24:C24"/>
    <mergeCell ref="B25:C25"/>
    <mergeCell ref="B26:C26"/>
    <mergeCell ref="B27:C27"/>
    <mergeCell ref="B3:M3"/>
    <mergeCell ref="B2:M2"/>
    <mergeCell ref="B20:C20"/>
    <mergeCell ref="B21:C21"/>
    <mergeCell ref="B22:C22"/>
  </mergeCells>
  <phoneticPr fontId="17" type="noConversion"/>
  <conditionalFormatting sqref="K5:M18">
    <cfRule type="expression" dxfId="0" priority="2">
      <formula>AND(K$4&gt;=$F5,K$4&lt;=$G5)</formula>
    </cfRule>
  </conditionalFormatting>
  <dataValidations count="2">
    <dataValidation type="list" allowBlank="1" sqref="C5:C18" xr:uid="{00000000-0002-0000-0500-000000000000}">
      <formula1>"기획,설계,개발,배포,테스트,문서화,발표준비"</formula1>
      <formula2>0</formula2>
    </dataValidation>
    <dataValidation type="list" allowBlank="1" sqref="J5:J18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39" t="s">
        <v>64</v>
      </c>
      <c r="C2" s="40"/>
    </row>
    <row r="3" spans="2:3" ht="19.5" customHeight="1">
      <c r="B3" s="45" t="s">
        <v>65</v>
      </c>
      <c r="C3" s="31"/>
    </row>
    <row r="5" spans="2:3" ht="19.5" customHeight="1">
      <c r="B5" s="6" t="s">
        <v>66</v>
      </c>
      <c r="C5" s="6" t="s">
        <v>67</v>
      </c>
    </row>
    <row r="6" spans="2:3" ht="30" customHeight="1">
      <c r="B6" s="4" t="s">
        <v>68</v>
      </c>
      <c r="C6" s="2" t="s">
        <v>69</v>
      </c>
    </row>
    <row r="7" spans="2:3" ht="30" customHeight="1">
      <c r="B7" s="4" t="s">
        <v>70</v>
      </c>
      <c r="C7" s="2" t="s">
        <v>71</v>
      </c>
    </row>
    <row r="8" spans="2:3" ht="30" customHeight="1">
      <c r="B8" s="4" t="s">
        <v>72</v>
      </c>
      <c r="C8" s="2" t="s">
        <v>73</v>
      </c>
    </row>
    <row r="9" spans="2:3" ht="30" customHeight="1">
      <c r="B9" s="1" t="s">
        <v>74</v>
      </c>
      <c r="C9" s="2" t="s">
        <v>75</v>
      </c>
    </row>
    <row r="10" spans="2:3" ht="30" customHeight="1">
      <c r="B10" s="4" t="s">
        <v>76</v>
      </c>
      <c r="C10" s="2" t="s">
        <v>77</v>
      </c>
    </row>
    <row r="11" spans="2:3" ht="30" customHeight="1">
      <c r="B11" s="4" t="s">
        <v>78</v>
      </c>
      <c r="C11" s="2" t="s">
        <v>79</v>
      </c>
    </row>
    <row r="12" spans="2:3" ht="30" customHeight="1">
      <c r="B12" s="4" t="s">
        <v>80</v>
      </c>
      <c r="C12" s="2" t="s">
        <v>81</v>
      </c>
    </row>
    <row r="13" spans="2:3" ht="30" customHeight="1">
      <c r="B13" s="1" t="s">
        <v>82</v>
      </c>
      <c r="C13" s="2" t="s">
        <v>83</v>
      </c>
    </row>
    <row r="14" spans="2:3" ht="30" customHeight="1">
      <c r="B14" s="4" t="s">
        <v>84</v>
      </c>
      <c r="C14" s="2" t="s">
        <v>85</v>
      </c>
    </row>
    <row r="15" spans="2:3" ht="30" customHeight="1">
      <c r="B15" s="1" t="s">
        <v>86</v>
      </c>
      <c r="C15" s="2" t="s">
        <v>87</v>
      </c>
    </row>
    <row r="16" spans="2:3" ht="30" customHeight="1">
      <c r="B16" s="1" t="s">
        <v>88</v>
      </c>
      <c r="C16" s="2" t="s">
        <v>89</v>
      </c>
    </row>
    <row r="17" spans="2:3" ht="30" customHeight="1">
      <c r="B17" s="4" t="s">
        <v>90</v>
      </c>
      <c r="C17" s="2" t="s">
        <v>91</v>
      </c>
    </row>
    <row r="18" spans="2:3" ht="30" customHeight="1">
      <c r="B18" s="1" t="s">
        <v>92</v>
      </c>
      <c r="C18" s="2" t="s">
        <v>93</v>
      </c>
    </row>
    <row r="19" spans="2:3" ht="30" customHeight="1">
      <c r="B19" s="1" t="s">
        <v>94</v>
      </c>
      <c r="C19" s="2" t="s">
        <v>95</v>
      </c>
    </row>
    <row r="20" spans="2:3" ht="30" customHeight="1">
      <c r="B20" s="1" t="s">
        <v>96</v>
      </c>
      <c r="C20" s="2" t="s">
        <v>97</v>
      </c>
    </row>
    <row r="21" spans="2:3" ht="30" customHeight="1">
      <c r="B21" s="1" t="s">
        <v>98</v>
      </c>
      <c r="C21" s="3" t="s">
        <v>99</v>
      </c>
    </row>
    <row r="22" spans="2:3" ht="30" customHeight="1">
      <c r="B22" s="1" t="s">
        <v>100</v>
      </c>
      <c r="C22" s="2" t="s">
        <v>101</v>
      </c>
    </row>
    <row r="23" spans="2:3" ht="30" customHeight="1">
      <c r="B23" s="4" t="s">
        <v>102</v>
      </c>
      <c r="C23" s="2" t="s">
        <v>103</v>
      </c>
    </row>
    <row r="24" spans="2:3" ht="30" customHeight="1">
      <c r="B24" s="4" t="s">
        <v>104</v>
      </c>
      <c r="C24" s="2" t="s">
        <v>105</v>
      </c>
    </row>
    <row r="25" spans="2:3" ht="30" customHeight="1">
      <c r="B25" s="4" t="s">
        <v>106</v>
      </c>
      <c r="C25" s="2" t="s">
        <v>107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2026-07-14T07:22:55Z</dcterms:modified>
  <dc:language>en-US</dc:language>
</cp:coreProperties>
</file>